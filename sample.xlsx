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groupmbd-my.sharepoint.com/personal/rabbi_evan_mediacl_com/Documents/Personal/Projects/Python/tvfreq/"/>
    </mc:Choice>
  </mc:AlternateContent>
  <xr:revisionPtr revIDLastSave="2" documentId="8_{F3E46EAF-438A-4B50-8E6E-BA36C587513B}" xr6:coauthVersionLast="47" xr6:coauthVersionMax="47" xr10:uidLastSave="{DD751ED8-AD6C-4B93-AE36-2AE09E65634F}"/>
  <bookViews>
    <workbookView xWindow="-120" yWindow="-120" windowWidth="20730" windowHeight="11040" xr2:uid="{00000000-000D-0000-FFFF-FFFF00000000}"/>
  </bookViews>
  <sheets>
    <sheet name="Frequency Estimator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4" i="10" l="1"/>
  <c r="L33" i="10" l="1"/>
</calcChain>
</file>

<file path=xl/sharedStrings.xml><?xml version="1.0" encoding="utf-8"?>
<sst xmlns="http://schemas.openxmlformats.org/spreadsheetml/2006/main" count="80" uniqueCount="59">
  <si>
    <t>Joseph W. Ostrow - Frequency Estimator Model 1982</t>
  </si>
  <si>
    <t>*** This is an adaptation of Ostrow model. Some factors might be different as the model allows addition/deletion of factors as per requirement</t>
  </si>
  <si>
    <t>DESIRED EFF. FREQ.</t>
  </si>
  <si>
    <t>Factors</t>
  </si>
  <si>
    <t>Lower Range</t>
  </si>
  <si>
    <t>Scale of 1-7</t>
  </si>
  <si>
    <t>Upper Range</t>
  </si>
  <si>
    <t>Score</t>
  </si>
  <si>
    <t>Weightage(%)</t>
  </si>
  <si>
    <t>Marketing</t>
  </si>
  <si>
    <t>Established</t>
  </si>
  <si>
    <t>New</t>
  </si>
  <si>
    <t>Market Share</t>
  </si>
  <si>
    <t>High</t>
  </si>
  <si>
    <t>Low</t>
  </si>
  <si>
    <t>Brand Loyalty</t>
  </si>
  <si>
    <t>Purchase Cycle</t>
  </si>
  <si>
    <t>Long</t>
  </si>
  <si>
    <t>Short</t>
  </si>
  <si>
    <t>Frequency of Usage</t>
  </si>
  <si>
    <t>Less</t>
  </si>
  <si>
    <t>More</t>
  </si>
  <si>
    <t>Age of Audience</t>
  </si>
  <si>
    <t>Young</t>
  </si>
  <si>
    <t>Old</t>
  </si>
  <si>
    <t>Competitive Activity (SOV)</t>
  </si>
  <si>
    <t>Habits/Attitude</t>
  </si>
  <si>
    <t>Reinforce</t>
  </si>
  <si>
    <t>Change</t>
  </si>
  <si>
    <t>Competitive threat</t>
  </si>
  <si>
    <t>Creative</t>
  </si>
  <si>
    <t>Message Complexity</t>
  </si>
  <si>
    <t>Simple</t>
  </si>
  <si>
    <t>Complex</t>
  </si>
  <si>
    <t>Proposition(Message Uniqueness)</t>
  </si>
  <si>
    <t>Commercial (Continuing Campaign?)</t>
  </si>
  <si>
    <t>Message Skew</t>
  </si>
  <si>
    <t>Product</t>
  </si>
  <si>
    <t>Image</t>
  </si>
  <si>
    <t>Message Variety(no. of creatives)</t>
  </si>
  <si>
    <t>Wearout (Till what exposure does the Freshness remain?)</t>
  </si>
  <si>
    <t>Size of Ad. Unit</t>
  </si>
  <si>
    <t>Large</t>
  </si>
  <si>
    <t>Small</t>
  </si>
  <si>
    <t>Media</t>
  </si>
  <si>
    <t>Ad. Clutter</t>
  </si>
  <si>
    <t>Ad. Environment</t>
  </si>
  <si>
    <t>Compatible</t>
  </si>
  <si>
    <t>Incompatible</t>
  </si>
  <si>
    <t>Audience Attentiveness</t>
  </si>
  <si>
    <t>Scheduling</t>
  </si>
  <si>
    <t>Continuous</t>
  </si>
  <si>
    <t>Flighting</t>
  </si>
  <si>
    <t>Repeat Exposure media</t>
  </si>
  <si>
    <t>Mix</t>
  </si>
  <si>
    <t>Single</t>
  </si>
  <si>
    <t>TOTAL</t>
  </si>
  <si>
    <t>Brand Proposition</t>
  </si>
  <si>
    <t>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</si>
</sst>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theme="0"/>
      <name val="Century Gothic"/>
      <family val="2"/>
    </font>
    <font>
      <b/>
      <i/>
      <sz val="20"/>
      <name val="Century Gothic"/>
      <family val="2"/>
    </font>
    <font>
      <sz val="11"/>
      <color theme="1"/>
      <name val="Century Gothic"/>
      <family val="2"/>
    </font>
    <font>
      <b/>
      <sz val="12"/>
      <color rgb="FF7030A0"/>
      <name val="Century Gothic"/>
      <family val="2"/>
    </font>
    <font>
      <b/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3" borderId="1" xfId="1" applyFont="1" applyFill="1" applyBorder="1" applyAlignment="1"/>
    <xf numFmtId="0" fontId="2" fillId="3" borderId="2" xfId="1" applyFont="1" applyFill="1" applyBorder="1" applyAlignment="1"/>
    <xf numFmtId="0" fontId="2" fillId="3" borderId="2" xfId="1" applyFont="1" applyFill="1" applyBorder="1" applyAlignment="1">
      <alignment horizontal="left"/>
    </xf>
    <xf numFmtId="0" fontId="1" fillId="0" borderId="1" xfId="1" applyFont="1" applyFill="1" applyBorder="1"/>
    <xf numFmtId="0" fontId="2" fillId="0" borderId="2" xfId="1" applyFont="1" applyFill="1" applyBorder="1" applyAlignment="1"/>
    <xf numFmtId="0" fontId="2" fillId="0" borderId="2" xfId="1" applyFont="1" applyFill="1" applyBorder="1" applyAlignment="1">
      <alignment horizontal="left"/>
    </xf>
    <xf numFmtId="0" fontId="1" fillId="0" borderId="2" xfId="1" applyFont="1" applyFill="1" applyBorder="1" applyAlignment="1">
      <alignment horizontal="center"/>
    </xf>
    <xf numFmtId="1" fontId="1" fillId="0" borderId="3" xfId="1" applyNumberFormat="1" applyFont="1" applyFill="1" applyBorder="1" applyAlignment="1">
      <alignment horizontal="center"/>
    </xf>
    <xf numFmtId="0" fontId="1" fillId="0" borderId="4" xfId="1" applyFont="1" applyFill="1" applyBorder="1"/>
    <xf numFmtId="0" fontId="1" fillId="0" borderId="5" xfId="1" applyFont="1" applyFill="1" applyBorder="1" applyAlignment="1">
      <alignment horizontal="center"/>
    </xf>
    <xf numFmtId="164" fontId="1" fillId="0" borderId="6" xfId="1" applyNumberFormat="1" applyFont="1" applyFill="1" applyBorder="1" applyAlignment="1">
      <alignment horizontal="center"/>
    </xf>
    <xf numFmtId="0" fontId="1" fillId="0" borderId="7" xfId="1" applyFont="1" applyFill="1" applyBorder="1"/>
    <xf numFmtId="0" fontId="1" fillId="0" borderId="8" xfId="1" applyFont="1" applyFill="1" applyBorder="1" applyAlignment="1">
      <alignment horizontal="left"/>
    </xf>
    <xf numFmtId="0" fontId="1" fillId="0" borderId="8" xfId="1" applyFont="1" applyFill="1" applyBorder="1" applyAlignment="1">
      <alignment horizontal="center"/>
    </xf>
    <xf numFmtId="164" fontId="1" fillId="0" borderId="9" xfId="1" applyNumberFormat="1" applyFont="1" applyFill="1" applyBorder="1" applyAlignment="1">
      <alignment horizontal="center"/>
    </xf>
    <xf numFmtId="0" fontId="1" fillId="0" borderId="10" xfId="1" applyFont="1" applyFill="1" applyBorder="1"/>
    <xf numFmtId="0" fontId="1" fillId="0" borderId="11" xfId="1" applyFont="1" applyFill="1" applyBorder="1" applyAlignment="1">
      <alignment horizontal="left"/>
    </xf>
    <xf numFmtId="0" fontId="1" fillId="0" borderId="11" xfId="1" applyFont="1" applyFill="1" applyBorder="1" applyAlignment="1">
      <alignment horizontal="center"/>
    </xf>
    <xf numFmtId="164" fontId="1" fillId="0" borderId="12" xfId="1" applyNumberFormat="1" applyFont="1" applyFill="1" applyBorder="1" applyAlignment="1">
      <alignment horizontal="center"/>
    </xf>
    <xf numFmtId="0" fontId="1" fillId="0" borderId="7" xfId="1" applyFont="1" applyFill="1" applyBorder="1" applyAlignment="1">
      <alignment wrapText="1"/>
    </xf>
    <xf numFmtId="0" fontId="1" fillId="0" borderId="2" xfId="1" applyFont="1" applyFill="1" applyBorder="1"/>
    <xf numFmtId="0" fontId="1" fillId="0" borderId="2" xfId="1" applyFont="1" applyFill="1" applyBorder="1" applyAlignment="1">
      <alignment horizontal="left"/>
    </xf>
    <xf numFmtId="2" fontId="1" fillId="0" borderId="3" xfId="1" applyNumberFormat="1" applyFont="1" applyFill="1" applyBorder="1" applyAlignment="1">
      <alignment horizontal="center"/>
    </xf>
    <xf numFmtId="0" fontId="3" fillId="6" borderId="15" xfId="1" applyFont="1" applyFill="1" applyBorder="1" applyAlignment="1">
      <alignment horizontal="center"/>
    </xf>
    <xf numFmtId="0" fontId="2" fillId="3" borderId="16" xfId="1" quotePrefix="1" applyFont="1" applyFill="1" applyBorder="1" applyAlignment="1">
      <alignment horizontal="left"/>
    </xf>
    <xf numFmtId="0" fontId="2" fillId="3" borderId="17" xfId="1" applyFont="1" applyFill="1" applyBorder="1"/>
    <xf numFmtId="0" fontId="2" fillId="3" borderId="17" xfId="1" applyFont="1" applyFill="1" applyBorder="1" applyAlignment="1">
      <alignment horizontal="left"/>
    </xf>
    <xf numFmtId="0" fontId="2" fillId="3" borderId="17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 wrapText="1"/>
    </xf>
    <xf numFmtId="0" fontId="1" fillId="0" borderId="22" xfId="1" applyFont="1" applyFill="1" applyBorder="1"/>
    <xf numFmtId="0" fontId="1" fillId="0" borderId="23" xfId="1" applyFont="1" applyFill="1" applyBorder="1" applyAlignment="1">
      <alignment horizontal="center"/>
    </xf>
    <xf numFmtId="164" fontId="1" fillId="0" borderId="24" xfId="1" applyNumberFormat="1" applyFont="1" applyFill="1" applyBorder="1" applyAlignment="1">
      <alignment horizontal="center"/>
    </xf>
    <xf numFmtId="0" fontId="3" fillId="5" borderId="1" xfId="1" applyFont="1" applyFill="1" applyBorder="1"/>
    <xf numFmtId="0" fontId="5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2" fontId="7" fillId="4" borderId="25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1" fillId="0" borderId="23" xfId="1" applyFont="1" applyFill="1" applyBorder="1" applyAlignment="1">
      <alignment horizontal="left"/>
    </xf>
    <xf numFmtId="0" fontId="1" fillId="0" borderId="5" xfId="1" applyFont="1" applyFill="1" applyBorder="1" applyAlignment="1">
      <alignment horizontal="left"/>
    </xf>
    <xf numFmtId="0" fontId="1" fillId="4" borderId="8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16" fontId="2" fillId="4" borderId="18" xfId="1" quotePrefix="1" applyNumberFormat="1" applyFont="1" applyFill="1" applyBorder="1" applyAlignment="1">
      <alignment horizontal="center"/>
    </xf>
    <xf numFmtId="0" fontId="2" fillId="4" borderId="19" xfId="1" applyFont="1" applyFill="1" applyBorder="1" applyAlignment="1">
      <alignment horizontal="center"/>
    </xf>
    <xf numFmtId="0" fontId="2" fillId="4" borderId="20" xfId="1" applyFont="1" applyFill="1" applyBorder="1" applyAlignment="1">
      <alignment horizontal="center"/>
    </xf>
    <xf numFmtId="0" fontId="1" fillId="4" borderId="23" xfId="1" applyFont="1" applyFill="1" applyBorder="1" applyAlignment="1">
      <alignment horizontal="center"/>
    </xf>
    <xf numFmtId="0" fontId="1" fillId="4" borderId="11" xfId="1" applyFont="1" applyFill="1" applyBorder="1" applyAlignment="1">
      <alignment horizontal="center"/>
    </xf>
    <xf numFmtId="0" fontId="1" fillId="4" borderId="5" xfId="1" applyFont="1" applyFill="1" applyBorder="1" applyAlignment="1">
      <alignment horizontal="center"/>
    </xf>
    <xf numFmtId="0" fontId="3" fillId="6" borderId="13" xfId="1" applyFont="1" applyFill="1" applyBorder="1" applyAlignment="1">
      <alignment horizontal="left"/>
    </xf>
    <xf numFmtId="0" fontId="3" fillId="6" borderId="14" xfId="1" applyFont="1" applyFill="1" applyBorder="1" applyAlignment="1">
      <alignment horizontal="left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7</xdr:row>
      <xdr:rowOff>25400</xdr:rowOff>
    </xdr:from>
    <xdr:to>
      <xdr:col>9</xdr:col>
      <xdr:colOff>0</xdr:colOff>
      <xdr:row>8</xdr:row>
      <xdr:rowOff>0</xdr:rowOff>
    </xdr:to>
    <xdr:sp macro="" textlink="">
      <xdr:nvSpPr>
        <xdr:cNvPr id="2" name="ScrollBar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924425" y="1663700"/>
          <a:ext cx="16256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25400</xdr:colOff>
      <xdr:row>8</xdr:row>
      <xdr:rowOff>38100</xdr:rowOff>
    </xdr:from>
    <xdr:to>
      <xdr:col>9</xdr:col>
      <xdr:colOff>3175</xdr:colOff>
      <xdr:row>9</xdr:row>
      <xdr:rowOff>1</xdr:rowOff>
    </xdr:to>
    <xdr:sp macro="" textlink="">
      <xdr:nvSpPr>
        <xdr:cNvPr id="3" name="ScrollBar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11725" y="1885950"/>
          <a:ext cx="1625600" cy="171450"/>
        </a:xfrm>
        <a:prstGeom prst="rect">
          <a:avLst/>
        </a:prstGeom>
      </xdr:spPr>
    </xdr:sp>
    <xdr:clientData/>
  </xdr:twoCellAnchor>
  <xdr:twoCellAnchor editAs="oneCell">
    <xdr:from>
      <xdr:col>2</xdr:col>
      <xdr:colOff>25400</xdr:colOff>
      <xdr:row>9</xdr:row>
      <xdr:rowOff>25400</xdr:rowOff>
    </xdr:from>
    <xdr:to>
      <xdr:col>9</xdr:col>
      <xdr:colOff>3175</xdr:colOff>
      <xdr:row>10</xdr:row>
      <xdr:rowOff>0</xdr:rowOff>
    </xdr:to>
    <xdr:sp macro="" textlink="">
      <xdr:nvSpPr>
        <xdr:cNvPr id="4" name="ScrollBar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911725" y="2082800"/>
          <a:ext cx="16256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25400</xdr:colOff>
      <xdr:row>10</xdr:row>
      <xdr:rowOff>25400</xdr:rowOff>
    </xdr:from>
    <xdr:to>
      <xdr:col>9</xdr:col>
      <xdr:colOff>3175</xdr:colOff>
      <xdr:row>10</xdr:row>
      <xdr:rowOff>207065</xdr:rowOff>
    </xdr:to>
    <xdr:sp macro="" textlink="">
      <xdr:nvSpPr>
        <xdr:cNvPr id="5" name="ScrollBar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911725" y="2292350"/>
          <a:ext cx="16256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25400</xdr:colOff>
      <xdr:row>11</xdr:row>
      <xdr:rowOff>25400</xdr:rowOff>
    </xdr:from>
    <xdr:to>
      <xdr:col>9</xdr:col>
      <xdr:colOff>3175</xdr:colOff>
      <xdr:row>12</xdr:row>
      <xdr:rowOff>0</xdr:rowOff>
    </xdr:to>
    <xdr:sp macro="" textlink="">
      <xdr:nvSpPr>
        <xdr:cNvPr id="6" name="ScrollBar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911725" y="2501900"/>
          <a:ext cx="16256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25400</xdr:colOff>
      <xdr:row>12</xdr:row>
      <xdr:rowOff>25400</xdr:rowOff>
    </xdr:from>
    <xdr:to>
      <xdr:col>8</xdr:col>
      <xdr:colOff>266700</xdr:colOff>
      <xdr:row>13</xdr:row>
      <xdr:rowOff>1</xdr:rowOff>
    </xdr:to>
    <xdr:sp macro="" textlink="">
      <xdr:nvSpPr>
        <xdr:cNvPr id="7" name="ScrollBar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911725" y="2711450"/>
          <a:ext cx="16129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38100</xdr:colOff>
      <xdr:row>13</xdr:row>
      <xdr:rowOff>25400</xdr:rowOff>
    </xdr:from>
    <xdr:to>
      <xdr:col>9</xdr:col>
      <xdr:colOff>0</xdr:colOff>
      <xdr:row>14</xdr:row>
      <xdr:rowOff>0</xdr:rowOff>
    </xdr:to>
    <xdr:sp macro="" textlink="">
      <xdr:nvSpPr>
        <xdr:cNvPr id="8" name="ScrollBar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924425" y="2921000"/>
          <a:ext cx="16256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25400</xdr:colOff>
      <xdr:row>14</xdr:row>
      <xdr:rowOff>25400</xdr:rowOff>
    </xdr:from>
    <xdr:to>
      <xdr:col>9</xdr:col>
      <xdr:colOff>3175</xdr:colOff>
      <xdr:row>15</xdr:row>
      <xdr:rowOff>0</xdr:rowOff>
    </xdr:to>
    <xdr:sp macro="" textlink="">
      <xdr:nvSpPr>
        <xdr:cNvPr id="9" name="ScrollBar8" hidden="1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911725" y="3130550"/>
          <a:ext cx="16256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25400</xdr:colOff>
      <xdr:row>15</xdr:row>
      <xdr:rowOff>25400</xdr:rowOff>
    </xdr:from>
    <xdr:to>
      <xdr:col>8</xdr:col>
      <xdr:colOff>266700</xdr:colOff>
      <xdr:row>16</xdr:row>
      <xdr:rowOff>3175</xdr:rowOff>
    </xdr:to>
    <xdr:sp macro="" textlink="">
      <xdr:nvSpPr>
        <xdr:cNvPr id="10" name="ScrollBar9" hidden="1">
          <a:extLst>
            <a:ext uri="{63B3BB69-23CF-44E3-9099-C40C66FF867C}">
              <a14:compatExt xmlns:a14="http://schemas.microsoft.com/office/drawing/2010/main" spid="_x0000_s103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911725" y="3340100"/>
          <a:ext cx="1612900" cy="196850"/>
        </a:xfrm>
        <a:prstGeom prst="rect">
          <a:avLst/>
        </a:prstGeom>
      </xdr:spPr>
    </xdr:sp>
    <xdr:clientData/>
  </xdr:twoCellAnchor>
  <xdr:twoCellAnchor editAs="oneCell">
    <xdr:from>
      <xdr:col>2</xdr:col>
      <xdr:colOff>50800</xdr:colOff>
      <xdr:row>17</xdr:row>
      <xdr:rowOff>25400</xdr:rowOff>
    </xdr:from>
    <xdr:to>
      <xdr:col>9</xdr:col>
      <xdr:colOff>0</xdr:colOff>
      <xdr:row>18</xdr:row>
      <xdr:rowOff>0</xdr:rowOff>
    </xdr:to>
    <xdr:sp macro="" textlink="">
      <xdr:nvSpPr>
        <xdr:cNvPr id="11" name="ScrollBar10" hidden="1">
          <a:extLst>
            <a:ext uri="{63B3BB69-23CF-44E3-9099-C40C66FF867C}">
              <a14:compatExt xmlns:a14="http://schemas.microsoft.com/office/drawing/2010/main" spid="_x0000_s1034"/>
            </a:ex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937125" y="3778250"/>
          <a:ext cx="16129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38100</xdr:colOff>
      <xdr:row>18</xdr:row>
      <xdr:rowOff>25400</xdr:rowOff>
    </xdr:from>
    <xdr:to>
      <xdr:col>9</xdr:col>
      <xdr:colOff>3175</xdr:colOff>
      <xdr:row>18</xdr:row>
      <xdr:rowOff>207065</xdr:rowOff>
    </xdr:to>
    <xdr:sp macro="" textlink="">
      <xdr:nvSpPr>
        <xdr:cNvPr id="12" name="ScrollBar11" hidden="1">
          <a:extLst>
            <a:ext uri="{63B3BB69-23CF-44E3-9099-C40C66FF867C}">
              <a14:compatExt xmlns:a14="http://schemas.microsoft.com/office/drawing/2010/main" spid="_x0000_s1035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924425" y="3987800"/>
          <a:ext cx="16129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38100</xdr:colOff>
      <xdr:row>19</xdr:row>
      <xdr:rowOff>25400</xdr:rowOff>
    </xdr:from>
    <xdr:to>
      <xdr:col>9</xdr:col>
      <xdr:colOff>3175</xdr:colOff>
      <xdr:row>20</xdr:row>
      <xdr:rowOff>0</xdr:rowOff>
    </xdr:to>
    <xdr:sp macro="" textlink="">
      <xdr:nvSpPr>
        <xdr:cNvPr id="13" name="ScrollBar12" hidden="1">
          <a:extLst>
            <a:ext uri="{63B3BB69-23CF-44E3-9099-C40C66FF867C}">
              <a14:compatExt xmlns:a14="http://schemas.microsoft.com/office/drawing/2010/main" spid="_x0000_s1036"/>
            </a:ex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924425" y="4197350"/>
          <a:ext cx="16129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38100</xdr:colOff>
      <xdr:row>20</xdr:row>
      <xdr:rowOff>25400</xdr:rowOff>
    </xdr:from>
    <xdr:to>
      <xdr:col>9</xdr:col>
      <xdr:colOff>3175</xdr:colOff>
      <xdr:row>21</xdr:row>
      <xdr:rowOff>1</xdr:rowOff>
    </xdr:to>
    <xdr:sp macro="" textlink="">
      <xdr:nvSpPr>
        <xdr:cNvPr id="14" name="ScrollBar13" hidden="1">
          <a:extLst>
            <a:ext uri="{63B3BB69-23CF-44E3-9099-C40C66FF867C}">
              <a14:compatExt xmlns:a14="http://schemas.microsoft.com/office/drawing/2010/main" spid="_x0000_s1037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924425" y="4406900"/>
          <a:ext cx="16129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38100</xdr:colOff>
      <xdr:row>21</xdr:row>
      <xdr:rowOff>25400</xdr:rowOff>
    </xdr:from>
    <xdr:to>
      <xdr:col>9</xdr:col>
      <xdr:colOff>3175</xdr:colOff>
      <xdr:row>22</xdr:row>
      <xdr:rowOff>0</xdr:rowOff>
    </xdr:to>
    <xdr:sp macro="" textlink="">
      <xdr:nvSpPr>
        <xdr:cNvPr id="15" name="ScrollBar14" hidden="1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924425" y="4616450"/>
          <a:ext cx="16129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38100</xdr:colOff>
      <xdr:row>22</xdr:row>
      <xdr:rowOff>25400</xdr:rowOff>
    </xdr:from>
    <xdr:to>
      <xdr:col>9</xdr:col>
      <xdr:colOff>0</xdr:colOff>
      <xdr:row>23</xdr:row>
      <xdr:rowOff>0</xdr:rowOff>
    </xdr:to>
    <xdr:sp macro="" textlink="">
      <xdr:nvSpPr>
        <xdr:cNvPr id="16" name="ScrollBar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924425" y="4826000"/>
          <a:ext cx="16256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50800</xdr:colOff>
      <xdr:row>23</xdr:row>
      <xdr:rowOff>25400</xdr:rowOff>
    </xdr:from>
    <xdr:to>
      <xdr:col>9</xdr:col>
      <xdr:colOff>0</xdr:colOff>
      <xdr:row>24</xdr:row>
      <xdr:rowOff>3175</xdr:rowOff>
    </xdr:to>
    <xdr:sp macro="" textlink="">
      <xdr:nvSpPr>
        <xdr:cNvPr id="17" name="ScrollBar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937125" y="5035550"/>
          <a:ext cx="1612900" cy="196850"/>
        </a:xfrm>
        <a:prstGeom prst="rect">
          <a:avLst/>
        </a:prstGeom>
      </xdr:spPr>
    </xdr:sp>
    <xdr:clientData/>
  </xdr:twoCellAnchor>
  <xdr:twoCellAnchor editAs="oneCell">
    <xdr:from>
      <xdr:col>2</xdr:col>
      <xdr:colOff>38100</xdr:colOff>
      <xdr:row>26</xdr:row>
      <xdr:rowOff>25400</xdr:rowOff>
    </xdr:from>
    <xdr:to>
      <xdr:col>9</xdr:col>
      <xdr:colOff>0</xdr:colOff>
      <xdr:row>26</xdr:row>
      <xdr:rowOff>207065</xdr:rowOff>
    </xdr:to>
    <xdr:sp macro="" textlink="">
      <xdr:nvSpPr>
        <xdr:cNvPr id="18" name="ScrollBar17" hidden="1">
          <a:extLst>
            <a:ext uri="{63B3BB69-23CF-44E3-9099-C40C66FF867C}">
              <a14:compatExt xmlns:a14="http://schemas.microsoft.com/office/drawing/2010/main" spid="_x0000_s1041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924425" y="5683250"/>
          <a:ext cx="16256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25400</xdr:colOff>
      <xdr:row>25</xdr:row>
      <xdr:rowOff>25400</xdr:rowOff>
    </xdr:from>
    <xdr:to>
      <xdr:col>9</xdr:col>
      <xdr:colOff>3175</xdr:colOff>
      <xdr:row>26</xdr:row>
      <xdr:rowOff>0</xdr:rowOff>
    </xdr:to>
    <xdr:sp macro="" textlink="">
      <xdr:nvSpPr>
        <xdr:cNvPr id="19" name="ScrollBar18" hidden="1">
          <a:extLst>
            <a:ext uri="{63B3BB69-23CF-44E3-9099-C40C66FF867C}">
              <a14:compatExt xmlns:a14="http://schemas.microsoft.com/office/drawing/2010/main" spid="_x0000_s1042"/>
            </a:ex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4911725" y="5473700"/>
          <a:ext cx="16256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38100</xdr:colOff>
      <xdr:row>27</xdr:row>
      <xdr:rowOff>25400</xdr:rowOff>
    </xdr:from>
    <xdr:to>
      <xdr:col>9</xdr:col>
      <xdr:colOff>3175</xdr:colOff>
      <xdr:row>27</xdr:row>
      <xdr:rowOff>207065</xdr:rowOff>
    </xdr:to>
    <xdr:sp macro="" textlink="">
      <xdr:nvSpPr>
        <xdr:cNvPr id="20" name="ScrollBar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924425" y="5892800"/>
          <a:ext cx="16129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38100</xdr:colOff>
      <xdr:row>28</xdr:row>
      <xdr:rowOff>25400</xdr:rowOff>
    </xdr:from>
    <xdr:to>
      <xdr:col>9</xdr:col>
      <xdr:colOff>3175</xdr:colOff>
      <xdr:row>29</xdr:row>
      <xdr:rowOff>0</xdr:rowOff>
    </xdr:to>
    <xdr:sp macro="" textlink="">
      <xdr:nvSpPr>
        <xdr:cNvPr id="21" name="ScrollBar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924425" y="6102350"/>
          <a:ext cx="16129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38100</xdr:colOff>
      <xdr:row>29</xdr:row>
      <xdr:rowOff>25400</xdr:rowOff>
    </xdr:from>
    <xdr:to>
      <xdr:col>9</xdr:col>
      <xdr:colOff>3175</xdr:colOff>
      <xdr:row>30</xdr:row>
      <xdr:rowOff>1</xdr:rowOff>
    </xdr:to>
    <xdr:sp macro="" textlink="">
      <xdr:nvSpPr>
        <xdr:cNvPr id="22" name="ScrollBar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924425" y="6311900"/>
          <a:ext cx="1612900" cy="184150"/>
        </a:xfrm>
        <a:prstGeom prst="rect">
          <a:avLst/>
        </a:prstGeom>
      </xdr:spPr>
    </xdr:sp>
    <xdr:clientData/>
  </xdr:twoCellAnchor>
  <xdr:twoCellAnchor editAs="oneCell">
    <xdr:from>
      <xdr:col>2</xdr:col>
      <xdr:colOff>25400</xdr:colOff>
      <xdr:row>30</xdr:row>
      <xdr:rowOff>25400</xdr:rowOff>
    </xdr:from>
    <xdr:to>
      <xdr:col>8</xdr:col>
      <xdr:colOff>266700</xdr:colOff>
      <xdr:row>31</xdr:row>
      <xdr:rowOff>3175</xdr:rowOff>
    </xdr:to>
    <xdr:sp macro="" textlink="">
      <xdr:nvSpPr>
        <xdr:cNvPr id="23" name="ScrollBar22" hidden="1">
          <a:extLst>
            <a:ext uri="{63B3BB69-23CF-44E3-9099-C40C66FF867C}">
              <a14:compatExt xmlns:a14="http://schemas.microsoft.com/office/drawing/2010/main" spid="_x0000_s1046"/>
            </a:ex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911725" y="6521450"/>
          <a:ext cx="1612900" cy="196850"/>
        </a:xfrm>
        <a:prstGeom prst="rect">
          <a:avLst/>
        </a:prstGeom>
      </xdr:spPr>
    </xdr:sp>
    <xdr:clientData/>
  </xdr:twoCellAnchor>
  <xdr:oneCellAnchor>
    <xdr:from>
      <xdr:col>2</xdr:col>
      <xdr:colOff>25400</xdr:colOff>
      <xdr:row>7</xdr:row>
      <xdr:rowOff>38100</xdr:rowOff>
    </xdr:from>
    <xdr:ext cx="1642579" cy="168966"/>
    <xdr:sp macro="" textlink="">
      <xdr:nvSpPr>
        <xdr:cNvPr id="24" name="ScrollBar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587D5E71-B02C-41BF-A623-67B258552125}"/>
            </a:ext>
          </a:extLst>
        </xdr:cNvPr>
        <xdr:cNvSpPr/>
      </xdr:nvSpPr>
      <xdr:spPr>
        <a:xfrm>
          <a:off x="4597400" y="1860274"/>
          <a:ext cx="1642579" cy="168966"/>
        </a:xfrm>
        <a:prstGeom prst="rect">
          <a:avLst/>
        </a:prstGeom>
      </xdr:spPr>
    </xdr:sp>
    <xdr:clientData/>
  </xdr:oneCellAnchor>
  <xdr:oneCellAnchor>
    <xdr:from>
      <xdr:col>2</xdr:col>
      <xdr:colOff>25400</xdr:colOff>
      <xdr:row>8</xdr:row>
      <xdr:rowOff>25400</xdr:rowOff>
    </xdr:from>
    <xdr:ext cx="1642579" cy="181665"/>
    <xdr:sp macro="" textlink="">
      <xdr:nvSpPr>
        <xdr:cNvPr id="25" name="ScrollBar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AD71A812-F6F8-462C-8B30-F835070C94C6}"/>
            </a:ext>
          </a:extLst>
        </xdr:cNvPr>
        <xdr:cNvSpPr/>
      </xdr:nvSpPr>
      <xdr:spPr>
        <a:xfrm>
          <a:off x="4597400" y="2054639"/>
          <a:ext cx="1642579" cy="181665"/>
        </a:xfrm>
        <a:prstGeom prst="rect">
          <a:avLst/>
        </a:prstGeom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showGridLines="0" tabSelected="1" topLeftCell="A3" zoomScaleNormal="100" zoomScalePageLayoutView="70" workbookViewId="0">
      <pane ySplit="4" topLeftCell="A7" activePane="bottomLeft" state="frozen"/>
      <selection activeCell="A3" sqref="A3"/>
      <selection pane="bottomLeft" activeCell="L4" sqref="L4"/>
    </sheetView>
  </sheetViews>
  <sheetFormatPr defaultColWidth="8.85546875" defaultRowHeight="16.5" x14ac:dyDescent="0.3"/>
  <cols>
    <col min="1" max="1" width="54.85546875" style="34" customWidth="1"/>
    <col min="2" max="2" width="13.7109375" style="34" bestFit="1" customWidth="1"/>
    <col min="3" max="8" width="3.42578125" style="34" customWidth="1"/>
    <col min="9" max="9" width="4.140625" style="34" customWidth="1"/>
    <col min="10" max="10" width="14.42578125" style="36" bestFit="1" customWidth="1"/>
    <col min="11" max="11" width="12.7109375" style="34" customWidth="1"/>
    <col min="12" max="12" width="24.28515625" style="34" customWidth="1"/>
    <col min="13" max="16384" width="8.85546875" style="34"/>
  </cols>
  <sheetData>
    <row r="1" spans="1:14" ht="26.25" thickBot="1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4" x14ac:dyDescent="0.3">
      <c r="A2" s="35" t="s">
        <v>1</v>
      </c>
    </row>
    <row r="3" spans="1:14" ht="17.25" thickBot="1" x14ac:dyDescent="0.35">
      <c r="A3" s="35"/>
    </row>
    <row r="4" spans="1:14" s="37" customFormat="1" ht="17.25" thickBot="1" x14ac:dyDescent="0.35">
      <c r="A4" s="1" t="s">
        <v>2</v>
      </c>
      <c r="B4" s="2"/>
      <c r="C4" s="2"/>
      <c r="D4" s="2"/>
      <c r="E4" s="2"/>
      <c r="F4" s="2"/>
      <c r="G4" s="2"/>
      <c r="H4" s="2"/>
      <c r="I4" s="2"/>
      <c r="J4" s="3"/>
      <c r="K4" s="2"/>
      <c r="L4" s="38">
        <f>ROUND((SUMPRODUCT(K8:K31,L8:L31)/SUM(L8:L31)),2)</f>
        <v>4.55</v>
      </c>
      <c r="M4" s="39">
        <v>5</v>
      </c>
      <c r="N4" s="40" t="s">
        <v>58</v>
      </c>
    </row>
    <row r="5" spans="1:14" ht="17.25" thickBot="1" x14ac:dyDescent="0.35">
      <c r="A5" s="35"/>
    </row>
    <row r="6" spans="1:14" ht="17.25" thickBot="1" x14ac:dyDescent="0.35">
      <c r="A6" s="25" t="s">
        <v>3</v>
      </c>
      <c r="B6" s="26" t="s">
        <v>4</v>
      </c>
      <c r="C6" s="47" t="s">
        <v>5</v>
      </c>
      <c r="D6" s="48"/>
      <c r="E6" s="48"/>
      <c r="F6" s="48"/>
      <c r="G6" s="48"/>
      <c r="H6" s="48"/>
      <c r="I6" s="49"/>
      <c r="J6" s="27" t="s">
        <v>6</v>
      </c>
      <c r="K6" s="28" t="s">
        <v>7</v>
      </c>
      <c r="L6" s="29" t="s">
        <v>8</v>
      </c>
    </row>
    <row r="7" spans="1:14" ht="17.25" thickBot="1" x14ac:dyDescent="0.35">
      <c r="A7" s="33" t="s">
        <v>9</v>
      </c>
      <c r="B7" s="21"/>
      <c r="C7" s="5"/>
      <c r="D7" s="5"/>
      <c r="E7" s="5"/>
      <c r="F7" s="5"/>
      <c r="G7" s="5"/>
      <c r="H7" s="5"/>
      <c r="I7" s="5"/>
      <c r="J7" s="6"/>
      <c r="K7" s="7"/>
      <c r="L7" s="8"/>
    </row>
    <row r="8" spans="1:14" x14ac:dyDescent="0.3">
      <c r="A8" s="30" t="s">
        <v>57</v>
      </c>
      <c r="B8" s="41" t="s">
        <v>10</v>
      </c>
      <c r="C8" s="50"/>
      <c r="D8" s="50"/>
      <c r="E8" s="50"/>
      <c r="F8" s="50"/>
      <c r="G8" s="50"/>
      <c r="H8" s="50"/>
      <c r="I8" s="50"/>
      <c r="J8" s="41" t="s">
        <v>11</v>
      </c>
      <c r="K8" s="31">
        <v>6</v>
      </c>
      <c r="L8" s="32">
        <v>4.5454545454545459</v>
      </c>
    </row>
    <row r="9" spans="1:14" x14ac:dyDescent="0.3">
      <c r="A9" s="12" t="s">
        <v>12</v>
      </c>
      <c r="B9" s="13" t="s">
        <v>13</v>
      </c>
      <c r="C9" s="43"/>
      <c r="D9" s="43"/>
      <c r="E9" s="43"/>
      <c r="F9" s="43"/>
      <c r="G9" s="43"/>
      <c r="H9" s="43"/>
      <c r="I9" s="43"/>
      <c r="J9" s="13" t="s">
        <v>14</v>
      </c>
      <c r="K9" s="14">
        <v>4</v>
      </c>
      <c r="L9" s="15">
        <v>4.5454545454545459</v>
      </c>
    </row>
    <row r="10" spans="1:14" x14ac:dyDescent="0.3">
      <c r="A10" s="12" t="s">
        <v>15</v>
      </c>
      <c r="B10" s="41" t="s">
        <v>13</v>
      </c>
      <c r="C10" s="43"/>
      <c r="D10" s="43"/>
      <c r="E10" s="43"/>
      <c r="F10" s="43"/>
      <c r="G10" s="43"/>
      <c r="H10" s="43"/>
      <c r="I10" s="43"/>
      <c r="J10" s="41" t="s">
        <v>14</v>
      </c>
      <c r="K10" s="14">
        <v>4</v>
      </c>
      <c r="L10" s="15">
        <v>4.5454545454545459</v>
      </c>
    </row>
    <row r="11" spans="1:14" x14ac:dyDescent="0.3">
      <c r="A11" s="12" t="s">
        <v>16</v>
      </c>
      <c r="B11" s="41" t="s">
        <v>17</v>
      </c>
      <c r="C11" s="43"/>
      <c r="D11" s="43"/>
      <c r="E11" s="43"/>
      <c r="F11" s="43"/>
      <c r="G11" s="43"/>
      <c r="H11" s="43"/>
      <c r="I11" s="43"/>
      <c r="J11" s="41" t="s">
        <v>18</v>
      </c>
      <c r="K11" s="14">
        <v>4</v>
      </c>
      <c r="L11" s="15">
        <v>4.5454545454545459</v>
      </c>
    </row>
    <row r="12" spans="1:14" x14ac:dyDescent="0.3">
      <c r="A12" s="12" t="s">
        <v>19</v>
      </c>
      <c r="B12" s="13" t="s">
        <v>20</v>
      </c>
      <c r="C12" s="43"/>
      <c r="D12" s="43"/>
      <c r="E12" s="43"/>
      <c r="F12" s="43"/>
      <c r="G12" s="43"/>
      <c r="H12" s="43"/>
      <c r="I12" s="43"/>
      <c r="J12" s="13" t="s">
        <v>21</v>
      </c>
      <c r="K12" s="14">
        <v>6</v>
      </c>
      <c r="L12" s="15">
        <v>4.5454545454545459</v>
      </c>
    </row>
    <row r="13" spans="1:14" x14ac:dyDescent="0.3">
      <c r="A13" s="12" t="s">
        <v>22</v>
      </c>
      <c r="B13" s="13" t="s">
        <v>23</v>
      </c>
      <c r="C13" s="43"/>
      <c r="D13" s="43"/>
      <c r="E13" s="43"/>
      <c r="F13" s="43"/>
      <c r="G13" s="43"/>
      <c r="H13" s="43"/>
      <c r="I13" s="43"/>
      <c r="J13" s="13" t="s">
        <v>24</v>
      </c>
      <c r="K13" s="14">
        <v>4</v>
      </c>
      <c r="L13" s="15">
        <v>4.5454545454545459</v>
      </c>
    </row>
    <row r="14" spans="1:14" x14ac:dyDescent="0.3">
      <c r="A14" s="12" t="s">
        <v>25</v>
      </c>
      <c r="B14" s="13" t="s">
        <v>14</v>
      </c>
      <c r="C14" s="43"/>
      <c r="D14" s="43"/>
      <c r="E14" s="43"/>
      <c r="F14" s="43"/>
      <c r="G14" s="43"/>
      <c r="H14" s="43"/>
      <c r="I14" s="43"/>
      <c r="J14" s="13" t="s">
        <v>13</v>
      </c>
      <c r="K14" s="14">
        <v>6</v>
      </c>
      <c r="L14" s="15">
        <v>4.5454545454545459</v>
      </c>
    </row>
    <row r="15" spans="1:14" x14ac:dyDescent="0.3">
      <c r="A15" s="12" t="s">
        <v>26</v>
      </c>
      <c r="B15" s="13" t="s">
        <v>27</v>
      </c>
      <c r="C15" s="43"/>
      <c r="D15" s="43"/>
      <c r="E15" s="43"/>
      <c r="F15" s="43"/>
      <c r="G15" s="43"/>
      <c r="H15" s="43"/>
      <c r="I15" s="43"/>
      <c r="J15" s="13" t="s">
        <v>28</v>
      </c>
      <c r="K15" s="14">
        <v>6</v>
      </c>
      <c r="L15" s="15">
        <v>4.5454545454545459</v>
      </c>
    </row>
    <row r="16" spans="1:14" ht="17.25" thickBot="1" x14ac:dyDescent="0.35">
      <c r="A16" s="16" t="s">
        <v>29</v>
      </c>
      <c r="B16" s="17" t="s">
        <v>14</v>
      </c>
      <c r="C16" s="51"/>
      <c r="D16" s="51"/>
      <c r="E16" s="51"/>
      <c r="F16" s="51"/>
      <c r="G16" s="51"/>
      <c r="H16" s="51"/>
      <c r="I16" s="51"/>
      <c r="J16" s="17" t="s">
        <v>13</v>
      </c>
      <c r="K16" s="18">
        <v>6</v>
      </c>
      <c r="L16" s="19">
        <v>4.5454545454545459</v>
      </c>
    </row>
    <row r="17" spans="1:12" ht="17.25" thickBot="1" x14ac:dyDescent="0.35">
      <c r="A17" s="33" t="s">
        <v>30</v>
      </c>
      <c r="B17" s="6"/>
      <c r="C17" s="5"/>
      <c r="D17" s="5"/>
      <c r="E17" s="5"/>
      <c r="F17" s="5"/>
      <c r="G17" s="5"/>
      <c r="H17" s="5"/>
      <c r="I17" s="5"/>
      <c r="J17" s="6"/>
      <c r="K17" s="7"/>
      <c r="L17" s="8"/>
    </row>
    <row r="18" spans="1:12" x14ac:dyDescent="0.3">
      <c r="A18" s="9" t="s">
        <v>31</v>
      </c>
      <c r="B18" s="13" t="s">
        <v>32</v>
      </c>
      <c r="C18" s="52"/>
      <c r="D18" s="52"/>
      <c r="E18" s="52"/>
      <c r="F18" s="52"/>
      <c r="G18" s="52"/>
      <c r="H18" s="52"/>
      <c r="I18" s="52"/>
      <c r="J18" s="13" t="s">
        <v>33</v>
      </c>
      <c r="K18" s="10">
        <v>1</v>
      </c>
      <c r="L18" s="11">
        <v>4.5454545454545459</v>
      </c>
    </row>
    <row r="19" spans="1:12" x14ac:dyDescent="0.3">
      <c r="A19" s="12" t="s">
        <v>34</v>
      </c>
      <c r="B19" s="13" t="s">
        <v>10</v>
      </c>
      <c r="C19" s="43"/>
      <c r="D19" s="43"/>
      <c r="E19" s="43"/>
      <c r="F19" s="43"/>
      <c r="G19" s="43"/>
      <c r="H19" s="43"/>
      <c r="I19" s="43"/>
      <c r="J19" s="13" t="s">
        <v>11</v>
      </c>
      <c r="K19" s="14">
        <v>6</v>
      </c>
      <c r="L19" s="15">
        <v>4.5454545454545459</v>
      </c>
    </row>
    <row r="20" spans="1:12" x14ac:dyDescent="0.3">
      <c r="A20" s="20" t="s">
        <v>35</v>
      </c>
      <c r="B20" s="13" t="s">
        <v>10</v>
      </c>
      <c r="C20" s="43"/>
      <c r="D20" s="43"/>
      <c r="E20" s="43"/>
      <c r="F20" s="43"/>
      <c r="G20" s="43"/>
      <c r="H20" s="43"/>
      <c r="I20" s="43"/>
      <c r="J20" s="13" t="s">
        <v>11</v>
      </c>
      <c r="K20" s="14">
        <v>7</v>
      </c>
      <c r="L20" s="15">
        <v>4.5454545454545459</v>
      </c>
    </row>
    <row r="21" spans="1:12" x14ac:dyDescent="0.3">
      <c r="A21" s="12" t="s">
        <v>36</v>
      </c>
      <c r="B21" s="13" t="s">
        <v>37</v>
      </c>
      <c r="C21" s="43"/>
      <c r="D21" s="43"/>
      <c r="E21" s="43"/>
      <c r="F21" s="43"/>
      <c r="G21" s="43"/>
      <c r="H21" s="43"/>
      <c r="I21" s="43"/>
      <c r="J21" s="13" t="s">
        <v>38</v>
      </c>
      <c r="K21" s="14">
        <v>7</v>
      </c>
      <c r="L21" s="15">
        <v>4.5454545454545459</v>
      </c>
    </row>
    <row r="22" spans="1:12" x14ac:dyDescent="0.3">
      <c r="A22" s="12" t="s">
        <v>39</v>
      </c>
      <c r="B22" s="13" t="s">
        <v>14</v>
      </c>
      <c r="C22" s="43"/>
      <c r="D22" s="43"/>
      <c r="E22" s="43"/>
      <c r="F22" s="43"/>
      <c r="G22" s="43"/>
      <c r="H22" s="43"/>
      <c r="I22" s="43"/>
      <c r="J22" s="13" t="s">
        <v>13</v>
      </c>
      <c r="K22" s="14">
        <v>1</v>
      </c>
      <c r="L22" s="15">
        <v>4.5454545454545459</v>
      </c>
    </row>
    <row r="23" spans="1:12" x14ac:dyDescent="0.3">
      <c r="A23" s="12" t="s">
        <v>40</v>
      </c>
      <c r="B23" s="13" t="s">
        <v>13</v>
      </c>
      <c r="C23" s="43"/>
      <c r="D23" s="43"/>
      <c r="E23" s="43"/>
      <c r="F23" s="43"/>
      <c r="G23" s="43"/>
      <c r="H23" s="43"/>
      <c r="I23" s="43"/>
      <c r="J23" s="13" t="s">
        <v>14</v>
      </c>
      <c r="K23" s="14">
        <v>3</v>
      </c>
      <c r="L23" s="15">
        <v>4.5454545454545459</v>
      </c>
    </row>
    <row r="24" spans="1:12" ht="17.25" thickBot="1" x14ac:dyDescent="0.35">
      <c r="A24" s="16" t="s">
        <v>41</v>
      </c>
      <c r="B24" s="17" t="s">
        <v>42</v>
      </c>
      <c r="C24" s="51"/>
      <c r="D24" s="51"/>
      <c r="E24" s="51"/>
      <c r="F24" s="51"/>
      <c r="G24" s="51"/>
      <c r="H24" s="51"/>
      <c r="I24" s="51"/>
      <c r="J24" s="17" t="s">
        <v>43</v>
      </c>
      <c r="K24" s="18">
        <v>5</v>
      </c>
      <c r="L24" s="19">
        <v>4.5454545454545459</v>
      </c>
    </row>
    <row r="25" spans="1:12" ht="17.25" thickBot="1" x14ac:dyDescent="0.35">
      <c r="A25" s="33" t="s">
        <v>44</v>
      </c>
      <c r="B25" s="6"/>
      <c r="C25" s="5"/>
      <c r="D25" s="5"/>
      <c r="E25" s="5"/>
      <c r="F25" s="5"/>
      <c r="G25" s="5"/>
      <c r="H25" s="5"/>
      <c r="I25" s="5"/>
      <c r="J25" s="6"/>
      <c r="K25" s="7"/>
      <c r="L25" s="8"/>
    </row>
    <row r="26" spans="1:12" s="37" customFormat="1" x14ac:dyDescent="0.3">
      <c r="A26" s="9" t="s">
        <v>45</v>
      </c>
      <c r="B26" s="42" t="s">
        <v>14</v>
      </c>
      <c r="C26" s="52"/>
      <c r="D26" s="52"/>
      <c r="E26" s="52"/>
      <c r="F26" s="52"/>
      <c r="G26" s="52"/>
      <c r="H26" s="52"/>
      <c r="I26" s="52"/>
      <c r="J26" s="42" t="s">
        <v>13</v>
      </c>
      <c r="K26" s="10">
        <v>6</v>
      </c>
      <c r="L26" s="11">
        <v>4.5454545454545459</v>
      </c>
    </row>
    <row r="27" spans="1:12" s="37" customFormat="1" x14ac:dyDescent="0.3">
      <c r="A27" s="12" t="s">
        <v>46</v>
      </c>
      <c r="B27" s="13" t="s">
        <v>47</v>
      </c>
      <c r="C27" s="43"/>
      <c r="D27" s="43"/>
      <c r="E27" s="43"/>
      <c r="F27" s="43"/>
      <c r="G27" s="43"/>
      <c r="H27" s="43"/>
      <c r="I27" s="43"/>
      <c r="J27" s="13" t="s">
        <v>48</v>
      </c>
      <c r="K27" s="14">
        <v>6</v>
      </c>
      <c r="L27" s="15">
        <v>4.5454545454545459</v>
      </c>
    </row>
    <row r="28" spans="1:12" s="37" customFormat="1" x14ac:dyDescent="0.3">
      <c r="A28" s="12" t="s">
        <v>49</v>
      </c>
      <c r="B28" s="13" t="s">
        <v>13</v>
      </c>
      <c r="C28" s="43"/>
      <c r="D28" s="43"/>
      <c r="E28" s="43"/>
      <c r="F28" s="43"/>
      <c r="G28" s="43"/>
      <c r="H28" s="43"/>
      <c r="I28" s="43"/>
      <c r="J28" s="13" t="s">
        <v>14</v>
      </c>
      <c r="K28" s="14">
        <v>4</v>
      </c>
      <c r="L28" s="15">
        <v>4.5454545454545459</v>
      </c>
    </row>
    <row r="29" spans="1:12" s="37" customFormat="1" x14ac:dyDescent="0.3">
      <c r="A29" s="12" t="s">
        <v>50</v>
      </c>
      <c r="B29" s="13" t="s">
        <v>51</v>
      </c>
      <c r="C29" s="43"/>
      <c r="D29" s="43"/>
      <c r="E29" s="43"/>
      <c r="F29" s="43"/>
      <c r="G29" s="43"/>
      <c r="H29" s="43"/>
      <c r="I29" s="43"/>
      <c r="J29" s="13" t="s">
        <v>52</v>
      </c>
      <c r="K29" s="14">
        <v>4</v>
      </c>
      <c r="L29" s="15">
        <v>4.5454545454545459</v>
      </c>
    </row>
    <row r="30" spans="1:12" s="37" customFormat="1" x14ac:dyDescent="0.3">
      <c r="A30" s="12" t="s">
        <v>53</v>
      </c>
      <c r="B30" s="13" t="s">
        <v>13</v>
      </c>
      <c r="C30" s="43"/>
      <c r="D30" s="43"/>
      <c r="E30" s="43"/>
      <c r="F30" s="43"/>
      <c r="G30" s="43"/>
      <c r="H30" s="43"/>
      <c r="I30" s="43"/>
      <c r="J30" s="13" t="s">
        <v>14</v>
      </c>
      <c r="K30" s="14">
        <v>2</v>
      </c>
      <c r="L30" s="15">
        <v>4.5454545454545459</v>
      </c>
    </row>
    <row r="31" spans="1:12" s="37" customFormat="1" ht="17.25" thickBot="1" x14ac:dyDescent="0.35">
      <c r="A31" s="16" t="s">
        <v>44</v>
      </c>
      <c r="B31" s="17" t="s">
        <v>54</v>
      </c>
      <c r="C31" s="51"/>
      <c r="D31" s="51"/>
      <c r="E31" s="51"/>
      <c r="F31" s="51"/>
      <c r="G31" s="51"/>
      <c r="H31" s="51"/>
      <c r="I31" s="51"/>
      <c r="J31" s="17" t="s">
        <v>55</v>
      </c>
      <c r="K31" s="18">
        <v>2</v>
      </c>
      <c r="L31" s="19">
        <v>4.5454545454545459</v>
      </c>
    </row>
    <row r="32" spans="1:12" s="37" customFormat="1" ht="17.25" thickBot="1" x14ac:dyDescent="0.35">
      <c r="A32" s="4"/>
      <c r="B32" s="21"/>
      <c r="C32" s="7"/>
      <c r="D32" s="7"/>
      <c r="E32" s="7"/>
      <c r="F32" s="7"/>
      <c r="G32" s="7"/>
      <c r="H32" s="7"/>
      <c r="I32" s="7"/>
      <c r="J32" s="22"/>
      <c r="K32" s="7"/>
      <c r="L32" s="23"/>
    </row>
    <row r="33" spans="1:12" s="37" customFormat="1" ht="17.25" thickBot="1" x14ac:dyDescent="0.35">
      <c r="A33" s="53" t="s">
        <v>56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24">
        <f>SUM(L8:L31)</f>
        <v>100.00000000000001</v>
      </c>
    </row>
    <row r="45" spans="1:12" s="37" customFormat="1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6"/>
      <c r="K45" s="34"/>
      <c r="L45" s="34"/>
    </row>
    <row r="46" spans="1:12" s="37" customFormat="1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6"/>
      <c r="K46" s="34"/>
    </row>
    <row r="47" spans="1:12" s="37" customFormat="1" x14ac:dyDescent="0.3">
      <c r="A47" s="34"/>
      <c r="B47" s="34"/>
      <c r="C47" s="34"/>
      <c r="D47" s="34"/>
      <c r="E47" s="34"/>
      <c r="F47" s="34"/>
      <c r="G47" s="34"/>
      <c r="H47" s="34"/>
      <c r="I47" s="34"/>
      <c r="J47" s="36"/>
      <c r="K47" s="34"/>
    </row>
  </sheetData>
  <mergeCells count="25">
    <mergeCell ref="A33:K33"/>
    <mergeCell ref="C20:I20"/>
    <mergeCell ref="C21:I21"/>
    <mergeCell ref="C22:I22"/>
    <mergeCell ref="C23:I23"/>
    <mergeCell ref="C24:I24"/>
    <mergeCell ref="C26:I26"/>
    <mergeCell ref="C27:I27"/>
    <mergeCell ref="C28:I28"/>
    <mergeCell ref="C29:I29"/>
    <mergeCell ref="C30:I30"/>
    <mergeCell ref="C31:I31"/>
    <mergeCell ref="C19:I19"/>
    <mergeCell ref="A1:L1"/>
    <mergeCell ref="C6:I6"/>
    <mergeCell ref="C8:I8"/>
    <mergeCell ref="C10:I10"/>
    <mergeCell ref="C11:I11"/>
    <mergeCell ref="C12:I12"/>
    <mergeCell ref="C13:I13"/>
    <mergeCell ref="C14:I14"/>
    <mergeCell ref="C15:I15"/>
    <mergeCell ref="C16:I16"/>
    <mergeCell ref="C18:I18"/>
    <mergeCell ref="C9:I9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e3b872-fc8b-4ec6-84b6-ff44b6f30f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D91BA59BAB49B90A89712575B9E9" ma:contentTypeVersion="18" ma:contentTypeDescription="Create a new document." ma:contentTypeScope="" ma:versionID="9c866d615cc73655eaeb3d6941aa346d">
  <xsd:schema xmlns:xsd="http://www.w3.org/2001/XMLSchema" xmlns:xs="http://www.w3.org/2001/XMLSchema" xmlns:p="http://schemas.microsoft.com/office/2006/metadata/properties" xmlns:ns3="10e3b872-fc8b-4ec6-84b6-ff44b6f30fba" xmlns:ns4="5d23f712-ac58-4b90-ac0a-7bf25f2c3062" targetNamespace="http://schemas.microsoft.com/office/2006/metadata/properties" ma:root="true" ma:fieldsID="c33b5f72e09300ba062fcd90a7829865" ns3:_="" ns4:_="">
    <xsd:import namespace="10e3b872-fc8b-4ec6-84b6-ff44b6f30fba"/>
    <xsd:import namespace="5d23f712-ac58-4b90-ac0a-7bf25f2c30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3b872-fc8b-4ec6-84b6-ff44b6f30f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3f712-ac58-4b90-ac0a-7bf25f2c306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628A75-C421-4F37-BEE4-6F71613EF24C}">
  <ds:schemaRefs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5d23f712-ac58-4b90-ac0a-7bf25f2c3062"/>
    <ds:schemaRef ds:uri="http://schemas.microsoft.com/office/2006/documentManagement/types"/>
    <ds:schemaRef ds:uri="http://schemas.microsoft.com/office/infopath/2007/PartnerControls"/>
    <ds:schemaRef ds:uri="10e3b872-fc8b-4ec6-84b6-ff44b6f30fba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B2BA7BC-08D7-4EF9-9B91-BABC06CA1F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7A8ED2-5F67-43EB-90C7-51EBAC67A2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e3b872-fc8b-4ec6-84b6-ff44b6f30fba"/>
    <ds:schemaRef ds:uri="5d23f712-ac58-4b90-ac0a-7bf25f2c30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Frequency Estimator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Madhulika Atri</dc:creator>
  <cp:lastModifiedBy>Fazla Rabbi Evan</cp:lastModifiedBy>
  <dcterms:created xsi:type="dcterms:W3CDTF">2015-01-20T08:16:06Z</dcterms:created>
  <dcterms:modified xsi:type="dcterms:W3CDTF">2026-04-05T18:10:53Z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0x010100FEDDD91BA59BAB49B90A89712575B9E9</vt:lpwstr>
  </property>
</Properties>
</file>